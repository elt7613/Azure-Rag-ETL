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me Discounts" sheetId="1" state="visible" r:id="rId3"/>
    <sheet name="Term Discounts" sheetId="2" state="visible" r:id="rId4"/>
    <sheet name="Special Programs" sheetId="3" state="visible" r:id="rId5"/>
    <sheet name="Approval Threshol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Hardcoded input. Source: Pricing2026.pdf — OrbitSuite Professional tier list price. Used here only to illustrate discounted pricing; actual list price varies by tier.</t>
        </r>
      </text>
    </comment>
  </commentList>
</comments>
</file>

<file path=xl/sharedStrings.xml><?xml version="1.0" encoding="utf-8"?>
<sst xmlns="http://schemas.openxmlformats.org/spreadsheetml/2006/main" count="64" uniqueCount="57">
  <si>
    <t xml:space="preserve">Northwind Traders — OrbitSuite Discount Schedule</t>
  </si>
  <si>
    <t xml:space="preserve">Sales Operations  |  Effective: January 1, 2026  |  Version 2.0  |  Legend: blue = input, black = formula, green = link to another tab</t>
  </si>
  <si>
    <t xml:space="preserve">Reference List Price ($/seat/month):</t>
  </si>
  <si>
    <t xml:space="preserve">Seat Count Tier</t>
  </si>
  <si>
    <t xml:space="preserve">Min Seats</t>
  </si>
  <si>
    <t xml:space="preserve">Discount %</t>
  </si>
  <si>
    <t xml:space="preserve">Discounted Price ($/seat/mo)</t>
  </si>
  <si>
    <t xml:space="preserve">5–24 seats</t>
  </si>
  <si>
    <t xml:space="preserve">25–49 seats</t>
  </si>
  <si>
    <t xml:space="preserve">50–99 seats</t>
  </si>
  <si>
    <t xml:space="preserve">100–249 seats</t>
  </si>
  <si>
    <t xml:space="preserve">250–499 seats</t>
  </si>
  <si>
    <t xml:space="preserve">500+ seats</t>
  </si>
  <si>
    <t xml:space="preserve">Volume discounts apply automatically based on the total contracted seat count at signature and are re-evaluated at each renewal.</t>
  </si>
  <si>
    <t xml:space="preserve">Stacking Example (Volume + Term Discount)</t>
  </si>
  <si>
    <t xml:space="preserve">Number of Seats</t>
  </si>
  <si>
    <t xml:space="preserve">Billing Term</t>
  </si>
  <si>
    <t xml:space="preserve">Annual (prepaid)</t>
  </si>
  <si>
    <t xml:space="preserve">Volume Discount</t>
  </si>
  <si>
    <t xml:space="preserve">Term Discount</t>
  </si>
  <si>
    <t xml:space="preserve">Combined Discount (capped at 40%)</t>
  </si>
  <si>
    <t xml:space="preserve">List Price ($/seat/mo)</t>
  </si>
  <si>
    <t xml:space="preserve">Final Price ($/seat/mo)</t>
  </si>
  <si>
    <t xml:space="preserve">Combined discount is capped at 40% total without a CFO exception. See the 'Approval Thresholds' tab for the required sign-off level at each discount band.</t>
  </si>
  <si>
    <t xml:space="preserve">Billing Term Discounts</t>
  </si>
  <si>
    <t xml:space="preserve">Sales Operations  |  Effective: January 1, 2026  |  Version 2.0</t>
  </si>
  <si>
    <t xml:space="preserve">Illustrative Price ($/seat/mo)</t>
  </si>
  <si>
    <t xml:space="preserve">Monthly</t>
  </si>
  <si>
    <t xml:space="preserve">2-Year (prepaid)</t>
  </si>
  <si>
    <t xml:space="preserve">3-Year (prepaid)</t>
  </si>
  <si>
    <t xml:space="preserve">Term discounts apply to the full contract value and may be combined with volume discounts (see the Stacking Example on the 'Volume Discounts' tab). Multi-year terms are billed annually in advance.</t>
  </si>
  <si>
    <t xml:space="preserve">Special Program Discounts</t>
  </si>
  <si>
    <t xml:space="preserve">Program</t>
  </si>
  <si>
    <t xml:space="preserve">Eligibility Criteria</t>
  </si>
  <si>
    <t xml:space="preserve">Non-Profit</t>
  </si>
  <si>
    <t xml:space="preserve">Valid 501(c)(3) status (or equivalent non-U.S. registered charity).</t>
  </si>
  <si>
    <t xml:space="preserve">Education</t>
  </si>
  <si>
    <t xml:space="preserve">Accredited educational institution; requires institutional .edu (or equivalent) email domain.</t>
  </si>
  <si>
    <t xml:space="preserve">Startup — Year 1</t>
  </si>
  <si>
    <t xml:space="preserve">Company incorporated under 3 years; total funding raised under $5M; verified by Sales Operations.</t>
  </si>
  <si>
    <t xml:space="preserve">Startup — Year 2 Renewal</t>
  </si>
  <si>
    <t xml:space="preserve">Applies at first renewal following the Year 1 startup discount; reverts to standard pricing in Year 3.</t>
  </si>
  <si>
    <t xml:space="preserve">Special program discounts do not stack with volume or term discounts; the highest applicable single discount applies. All special program accounts are subject to annual re-verification of eligibility.</t>
  </si>
  <si>
    <t xml:space="preserve">Discount Approval Thresholds</t>
  </si>
  <si>
    <t xml:space="preserve">Combined Discount Range</t>
  </si>
  <si>
    <t xml:space="preserve">Required Approver</t>
  </si>
  <si>
    <t xml:space="preserve">0% – 10%</t>
  </si>
  <si>
    <t xml:space="preserve">Account Executive (self-approve)</t>
  </si>
  <si>
    <t xml:space="preserve">10% – 20%</t>
  </si>
  <si>
    <t xml:space="preserve">Sales Manager</t>
  </si>
  <si>
    <t xml:space="preserve">20% – 30%</t>
  </si>
  <si>
    <t xml:space="preserve">VP of Sales</t>
  </si>
  <si>
    <t xml:space="preserve">30% – 40%</t>
  </si>
  <si>
    <t xml:space="preserve">Chief Revenue Officer + Finance Business Partner</t>
  </si>
  <si>
    <t xml:space="preserve">Above 40%</t>
  </si>
  <si>
    <t xml:space="preserve">Not permitted without a CFO exception approval</t>
  </si>
  <si>
    <t xml:space="preserve">“Combined discount” includes volume, term, and any special-program discount applied to a given deal. Route approval requests through the Deal Desk queue in Salesforce.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</si>
</sst>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E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C4" s="4" t="n">
        <v>65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5" hidden="false" customHeight="false" outlineLevel="0" collapsed="false">
      <c r="A7" s="6" t="s">
        <v>7</v>
      </c>
      <c r="B7" s="7" t="n">
        <v>5</v>
      </c>
      <c r="C7" s="8" t="n">
        <v>0</v>
      </c>
      <c r="D7" s="9" t="n">
        <f aca="false">$C$4*(1-C7)</f>
        <v>65</v>
      </c>
    </row>
    <row r="8" customFormat="false" ht="15" hidden="false" customHeight="false" outlineLevel="0" collapsed="false">
      <c r="A8" s="10" t="s">
        <v>8</v>
      </c>
      <c r="B8" s="11" t="n">
        <v>25</v>
      </c>
      <c r="C8" s="12" t="n">
        <v>0.05</v>
      </c>
      <c r="D8" s="13" t="n">
        <f aca="false">$C$4*(1-C8)</f>
        <v>61.75</v>
      </c>
    </row>
    <row r="9" customFormat="false" ht="15" hidden="false" customHeight="false" outlineLevel="0" collapsed="false">
      <c r="A9" s="6" t="s">
        <v>9</v>
      </c>
      <c r="B9" s="7" t="n">
        <v>50</v>
      </c>
      <c r="C9" s="8" t="n">
        <v>0.1</v>
      </c>
      <c r="D9" s="9" t="n">
        <f aca="false">$C$4*(1-C9)</f>
        <v>58.5</v>
      </c>
    </row>
    <row r="10" customFormat="false" ht="15" hidden="false" customHeight="false" outlineLevel="0" collapsed="false">
      <c r="A10" s="10" t="s">
        <v>10</v>
      </c>
      <c r="B10" s="11" t="n">
        <v>100</v>
      </c>
      <c r="C10" s="12" t="n">
        <v>0.15</v>
      </c>
      <c r="D10" s="13" t="n">
        <f aca="false">$C$4*(1-C10)</f>
        <v>55.25</v>
      </c>
    </row>
    <row r="11" customFormat="false" ht="15" hidden="false" customHeight="false" outlineLevel="0" collapsed="false">
      <c r="A11" s="6" t="s">
        <v>11</v>
      </c>
      <c r="B11" s="7" t="n">
        <v>250</v>
      </c>
      <c r="C11" s="8" t="n">
        <v>0.2</v>
      </c>
      <c r="D11" s="9" t="n">
        <f aca="false">$C$4*(1-C11)</f>
        <v>52</v>
      </c>
    </row>
    <row r="12" customFormat="false" ht="15" hidden="false" customHeight="false" outlineLevel="0" collapsed="false">
      <c r="A12" s="10" t="s">
        <v>12</v>
      </c>
      <c r="B12" s="11" t="n">
        <v>500</v>
      </c>
      <c r="C12" s="12" t="n">
        <v>0.25</v>
      </c>
      <c r="D12" s="13" t="n">
        <f aca="false">$C$4*(1-C12)</f>
        <v>48.75</v>
      </c>
    </row>
    <row r="14" customFormat="false" ht="15" hidden="false" customHeight="true" outlineLevel="0" collapsed="false">
      <c r="A14" s="14" t="s">
        <v>13</v>
      </c>
      <c r="B14" s="14"/>
      <c r="C14" s="14"/>
      <c r="D14" s="14"/>
    </row>
    <row r="16" customFormat="false" ht="15" hidden="false" customHeight="false" outlineLevel="0" collapsed="false">
      <c r="A16" s="15" t="s">
        <v>14</v>
      </c>
      <c r="B16" s="15"/>
      <c r="C16" s="15"/>
      <c r="D16" s="15"/>
    </row>
    <row r="17" customFormat="false" ht="15" hidden="false" customHeight="false" outlineLevel="0" collapsed="false">
      <c r="A17" s="16" t="s">
        <v>15</v>
      </c>
      <c r="C17" s="17" t="n">
        <v>150</v>
      </c>
    </row>
    <row r="18" customFormat="false" ht="15" hidden="false" customHeight="false" outlineLevel="0" collapsed="false">
      <c r="A18" s="16" t="s">
        <v>16</v>
      </c>
      <c r="C18" s="18" t="s">
        <v>17</v>
      </c>
    </row>
    <row r="19" customFormat="false" ht="15" hidden="false" customHeight="false" outlineLevel="0" collapsed="false">
      <c r="A19" s="16" t="s">
        <v>18</v>
      </c>
      <c r="C19" s="19" t="n">
        <f aca="false">VLOOKUP(C17,B7:C12,2,TRUE())</f>
        <v>0.15</v>
      </c>
    </row>
    <row r="20" customFormat="false" ht="15" hidden="false" customHeight="false" outlineLevel="0" collapsed="false">
      <c r="A20" s="16" t="s">
        <v>19</v>
      </c>
      <c r="C20" s="20" t="n">
        <f aca="false">VLOOKUP(C18,'Term Discounts'!A:B,2,FALSE())</f>
        <v>0.15</v>
      </c>
    </row>
    <row r="21" customFormat="false" ht="15" hidden="false" customHeight="false" outlineLevel="0" collapsed="false">
      <c r="A21" s="16" t="s">
        <v>20</v>
      </c>
      <c r="C21" s="19" t="n">
        <f aca="false">MIN(C19+C20,0.4)</f>
        <v>0.3</v>
      </c>
    </row>
    <row r="22" customFormat="false" ht="15" hidden="false" customHeight="false" outlineLevel="0" collapsed="false">
      <c r="A22" s="16" t="s">
        <v>21</v>
      </c>
      <c r="C22" s="21" t="n">
        <f aca="false">$C$4</f>
        <v>65</v>
      </c>
    </row>
    <row r="23" customFormat="false" ht="15" hidden="false" customHeight="false" outlineLevel="0" collapsed="false">
      <c r="A23" s="16" t="s">
        <v>22</v>
      </c>
      <c r="C23" s="9" t="n">
        <f aca="false">C22*(1-C21)</f>
        <v>45.5</v>
      </c>
    </row>
    <row r="25" customFormat="false" ht="22.35" hidden="false" customHeight="true" outlineLevel="0" collapsed="false">
      <c r="A25" s="14" t="s">
        <v>23</v>
      </c>
      <c r="B25" s="14"/>
      <c r="C25" s="14"/>
      <c r="D25" s="14"/>
    </row>
  </sheetData>
  <mergeCells count="5">
    <mergeCell ref="A1:D1"/>
    <mergeCell ref="A2:D2"/>
    <mergeCell ref="A14:D14"/>
    <mergeCell ref="A16:D16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24</v>
      </c>
      <c r="B1" s="1"/>
      <c r="C1" s="1"/>
    </row>
    <row r="2" customFormat="false" ht="15" hidden="false" customHeight="false" outlineLevel="0" collapsed="false">
      <c r="A2" s="2" t="s">
        <v>25</v>
      </c>
      <c r="B2" s="2"/>
      <c r="C2" s="2"/>
    </row>
    <row r="4" customFormat="false" ht="15" hidden="false" customHeight="false" outlineLevel="0" collapsed="false">
      <c r="A4" s="5" t="s">
        <v>16</v>
      </c>
      <c r="B4" s="5" t="s">
        <v>5</v>
      </c>
      <c r="C4" s="5" t="s">
        <v>26</v>
      </c>
    </row>
    <row r="5" customFormat="false" ht="15" hidden="false" customHeight="false" outlineLevel="0" collapsed="false">
      <c r="A5" s="6" t="s">
        <v>27</v>
      </c>
      <c r="B5" s="8" t="n">
        <v>0</v>
      </c>
      <c r="C5" s="21" t="n">
        <f aca="false">'Volume Discounts'!$C$4*(1-B5)</f>
        <v>65</v>
      </c>
    </row>
    <row r="6" customFormat="false" ht="15" hidden="false" customHeight="false" outlineLevel="0" collapsed="false">
      <c r="A6" s="10" t="s">
        <v>17</v>
      </c>
      <c r="B6" s="12" t="n">
        <v>0.15</v>
      </c>
      <c r="C6" s="22" t="n">
        <f aca="false">'Volume Discounts'!$C$4*(1-B6)</f>
        <v>55.25</v>
      </c>
    </row>
    <row r="7" customFormat="false" ht="15" hidden="false" customHeight="false" outlineLevel="0" collapsed="false">
      <c r="A7" s="6" t="s">
        <v>28</v>
      </c>
      <c r="B7" s="8" t="n">
        <v>0.22</v>
      </c>
      <c r="C7" s="21" t="n">
        <f aca="false">'Volume Discounts'!$C$4*(1-B7)</f>
        <v>50.7</v>
      </c>
    </row>
    <row r="8" customFormat="false" ht="15" hidden="false" customHeight="false" outlineLevel="0" collapsed="false">
      <c r="A8" s="10" t="s">
        <v>29</v>
      </c>
      <c r="B8" s="12" t="n">
        <v>0.28</v>
      </c>
      <c r="C8" s="22" t="n">
        <f aca="false">'Volume Discounts'!$C$4*(1-B8)</f>
        <v>46.8</v>
      </c>
    </row>
    <row r="10" customFormat="false" ht="32.8" hidden="false" customHeight="true" outlineLevel="0" collapsed="false">
      <c r="A10" s="14" t="s">
        <v>30</v>
      </c>
      <c r="B10" s="14"/>
      <c r="C10" s="14"/>
    </row>
  </sheetData>
  <mergeCells count="3">
    <mergeCell ref="A1:C1"/>
    <mergeCell ref="A2:C2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31</v>
      </c>
      <c r="B1" s="1"/>
      <c r="C1" s="1"/>
      <c r="D1" s="1"/>
    </row>
    <row r="2" customFormat="false" ht="15" hidden="false" customHeight="false" outlineLevel="0" collapsed="false">
      <c r="A2" s="2" t="s">
        <v>25</v>
      </c>
      <c r="B2" s="2"/>
      <c r="C2" s="2"/>
      <c r="D2" s="2"/>
    </row>
    <row r="4" customFormat="false" ht="15" hidden="false" customHeight="false" outlineLevel="0" collapsed="false">
      <c r="A4" s="5" t="s">
        <v>32</v>
      </c>
      <c r="B4" s="5" t="s">
        <v>5</v>
      </c>
      <c r="C4" s="5" t="s">
        <v>33</v>
      </c>
      <c r="D4" s="5" t="s">
        <v>26</v>
      </c>
    </row>
    <row r="5" customFormat="false" ht="30" hidden="false" customHeight="true" outlineLevel="0" collapsed="false">
      <c r="A5" s="6" t="s">
        <v>34</v>
      </c>
      <c r="B5" s="8" t="n">
        <v>0.2</v>
      </c>
      <c r="C5" s="23" t="s">
        <v>35</v>
      </c>
      <c r="D5" s="21" t="n">
        <f aca="false">'Volume Discounts'!$C$4*(1-B5)</f>
        <v>52</v>
      </c>
    </row>
    <row r="6" customFormat="false" ht="30" hidden="false" customHeight="true" outlineLevel="0" collapsed="false">
      <c r="A6" s="10" t="s">
        <v>36</v>
      </c>
      <c r="B6" s="12" t="n">
        <v>0.25</v>
      </c>
      <c r="C6" s="24" t="s">
        <v>37</v>
      </c>
      <c r="D6" s="22" t="n">
        <f aca="false">'Volume Discounts'!$C$4*(1-B6)</f>
        <v>48.75</v>
      </c>
    </row>
    <row r="7" customFormat="false" ht="30" hidden="false" customHeight="true" outlineLevel="0" collapsed="false">
      <c r="A7" s="6" t="s">
        <v>38</v>
      </c>
      <c r="B7" s="8" t="n">
        <v>0.3</v>
      </c>
      <c r="C7" s="23" t="s">
        <v>39</v>
      </c>
      <c r="D7" s="21" t="n">
        <f aca="false">'Volume Discounts'!$C$4*(1-B7)</f>
        <v>45.5</v>
      </c>
    </row>
    <row r="8" customFormat="false" ht="30" hidden="false" customHeight="true" outlineLevel="0" collapsed="false">
      <c r="A8" s="10" t="s">
        <v>40</v>
      </c>
      <c r="B8" s="12" t="n">
        <v>0.15</v>
      </c>
      <c r="C8" s="24" t="s">
        <v>41</v>
      </c>
      <c r="D8" s="22" t="n">
        <f aca="false">'Volume Discounts'!$C$4*(1-B8)</f>
        <v>55.25</v>
      </c>
    </row>
    <row r="10" customFormat="false" ht="22.35" hidden="false" customHeight="true" outlineLevel="0" collapsed="false">
      <c r="A10" s="14" t="s">
        <v>42</v>
      </c>
      <c r="B10" s="14"/>
      <c r="C10" s="14"/>
      <c r="D10" s="14"/>
    </row>
  </sheetData>
  <mergeCells count="3">
    <mergeCell ref="A1:D1"/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</cols>
  <sheetData>
    <row r="1" customFormat="false" ht="17.35" hidden="false" customHeight="false" outlineLevel="0" collapsed="false">
      <c r="A1" s="1" t="s">
        <v>43</v>
      </c>
      <c r="B1" s="1"/>
    </row>
    <row r="2" customFormat="false" ht="15" hidden="false" customHeight="false" outlineLevel="0" collapsed="false">
      <c r="A2" s="2" t="s">
        <v>25</v>
      </c>
      <c r="B2" s="2"/>
    </row>
    <row r="4" customFormat="false" ht="15" hidden="false" customHeight="false" outlineLevel="0" collapsed="false">
      <c r="A4" s="5" t="s">
        <v>44</v>
      </c>
      <c r="B4" s="5" t="s">
        <v>45</v>
      </c>
    </row>
    <row r="5" customFormat="false" ht="15" hidden="false" customHeight="false" outlineLevel="0" collapsed="false">
      <c r="A5" s="6" t="s">
        <v>46</v>
      </c>
      <c r="B5" s="6" t="s">
        <v>47</v>
      </c>
    </row>
    <row r="6" customFormat="false" ht="15" hidden="false" customHeight="false" outlineLevel="0" collapsed="false">
      <c r="A6" s="10" t="s">
        <v>48</v>
      </c>
      <c r="B6" s="10" t="s">
        <v>49</v>
      </c>
    </row>
    <row r="7" customFormat="false" ht="15" hidden="false" customHeight="false" outlineLevel="0" collapsed="false">
      <c r="A7" s="6" t="s">
        <v>50</v>
      </c>
      <c r="B7" s="6" t="s">
        <v>51</v>
      </c>
    </row>
    <row r="8" customFormat="false" ht="15" hidden="false" customHeight="false" outlineLevel="0" collapsed="false">
      <c r="A8" s="10" t="s">
        <v>52</v>
      </c>
      <c r="B8" s="10" t="s">
        <v>53</v>
      </c>
    </row>
    <row r="9" customFormat="false" ht="15" hidden="false" customHeight="false" outlineLevel="0" collapsed="false">
      <c r="A9" s="6" t="s">
        <v>54</v>
      </c>
      <c r="B9" s="6" t="s">
        <v>55</v>
      </c>
    </row>
    <row r="11" customFormat="false" ht="22.35" hidden="false" customHeight="true" outlineLevel="0" collapsed="false">
      <c r="A11" s="14" t="s">
        <v>56</v>
      </c>
      <c r="B11" s="14"/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2026-08-08T04:34:08Z</dcterms:created>
  <dc:creator>openpyxl</dc:creator>
  <dc:description/>
  <dc:language>en-US</dc:language>
  <cp:lastModifiedBy/>
  <dcterms:modified xsi:type="dcterms:W3CDTF">2026-08-08T04:34:08Z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